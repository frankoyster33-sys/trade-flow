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<sst xmlns="http://schemas.openxmlformats.org/spreadsheetml/2006/main" count="29" uniqueCount="26">
  <si>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cm</t>
  </si>
  <si>
    <t>mm</t>
  </si>
  <si>
    <t>g/cm3</t>
  </si>
  <si>
    <t>g</t>
  </si>
  <si>
    <t>数量</t>
  </si>
  <si>
    <r>
      <rPr>
        <sz val="11"/>
        <rFont val="宋体"/>
        <charset val="134"/>
      </rPr>
      <t>总重量（</t>
    </r>
    <r>
      <rPr>
        <sz val="11"/>
        <rFont val="Arial"/>
        <charset val="134"/>
      </rPr>
      <t>KG</t>
    </r>
    <r>
      <rPr>
        <sz val="11"/>
        <rFont val="宋体"/>
        <charset val="134"/>
      </rPr>
      <t>）</t>
    </r>
  </si>
  <si>
    <t xml:space="preserve"> </t>
  </si>
  <si>
    <t>每箱个数：</t>
  </si>
  <si>
    <t>每箱净重：</t>
  </si>
  <si>
    <t>原料</t>
  </si>
  <si>
    <t>箱规：</t>
  </si>
  <si>
    <t>加工</t>
  </si>
  <si>
    <t>色种</t>
  </si>
  <si>
    <t>添加剂</t>
  </si>
  <si>
    <t>损耗</t>
  </si>
  <si>
    <r>
      <rPr>
        <sz val="11"/>
        <rFont val="宋体"/>
        <charset val="134"/>
      </rPr>
      <t>克重</t>
    </r>
    <r>
      <rPr>
        <sz val="11"/>
        <rFont val="Arial"/>
        <charset val="134"/>
      </rPr>
      <t>(KG)</t>
    </r>
  </si>
  <si>
    <t>料总成本：</t>
  </si>
  <si>
    <r>
      <rPr>
        <sz val="11"/>
        <rFont val="宋体"/>
        <charset val="134"/>
      </rPr>
      <t>印刷</t>
    </r>
    <r>
      <rPr>
        <sz val="11"/>
        <rFont val="Arial"/>
        <charset val="134"/>
      </rPr>
      <t>:</t>
    </r>
  </si>
  <si>
    <t>单色印刷印双面</t>
  </si>
  <si>
    <t>纸箱：</t>
  </si>
  <si>
    <t>国内运费：</t>
  </si>
  <si>
    <t>总成本：</t>
  </si>
  <si>
    <t>利率：</t>
  </si>
  <si>
    <t>含利价格：</t>
  </si>
  <si>
    <t>含税</t>
  </si>
  <si>
    <t>铜板费（不满400按400算）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</si>
</sst>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0_ "/>
    <numFmt numFmtId="178" formatCode="0.0000_ "/>
    <numFmt numFmtId="179" formatCode="0.00_ "/>
  </numFmts>
  <fonts count="32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b/>
      <sz val="20"/>
      <name val="Arial"/>
      <charset val="134"/>
    </font>
    <font>
      <sz val="11"/>
      <name val="Arial"/>
      <charset val="134"/>
    </font>
    <font>
      <sz val="9"/>
      <name val="Arial"/>
      <charset val="134"/>
    </font>
    <font>
      <sz val="11"/>
      <name val="宋体"/>
      <charset val="134"/>
    </font>
    <font>
      <sz val="9"/>
      <color rgb="FFFF0000"/>
      <name val="Arial"/>
      <charset val="134"/>
    </font>
    <font>
      <b/>
      <sz val="11"/>
      <name val="宋体-简"/>
      <charset val="134"/>
    </font>
    <font>
      <b/>
      <sz val="11"/>
      <name val="Arial"/>
      <charset val="134"/>
    </font>
    <font>
      <sz val="11"/>
      <color rgb="FFFF0000"/>
      <name val="Arial"/>
      <charset val="134"/>
    </font>
    <font>
      <sz val="11"/>
      <color rgb="FFFF0000"/>
      <name val="宋体-简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5" fillId="3" borderId="5" xfId="0" applyFont="1" applyFill="1" applyBorder="1" applyAlignment="1">
      <alignment vertical="center"/>
    </xf>
    <xf numFmtId="176" fontId="4" fillId="0" borderId="4" xfId="0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/>
    </xf>
    <xf numFmtId="0" fontId="5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5" fillId="0" borderId="6" xfId="0" applyFont="1" applyFill="1" applyBorder="1" applyAlignment="1"/>
    <xf numFmtId="0" fontId="9" fillId="0" borderId="6" xfId="0" applyFont="1" applyFill="1" applyBorder="1" applyAlignment="1"/>
    <xf numFmtId="0" fontId="5" fillId="0" borderId="0" xfId="0" applyFont="1" applyFill="1" applyAlignment="1">
      <alignment horizontal="left"/>
    </xf>
    <xf numFmtId="0" fontId="3" fillId="0" borderId="6" xfId="0" applyFont="1" applyFill="1" applyBorder="1" applyAlignment="1"/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8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5" xfId="0" applyFill="1" applyBorder="1" applyAlignment="1">
      <alignment vertical="center"/>
    </xf>
    <xf numFmtId="0" fontId="3" fillId="3" borderId="6" xfId="0" applyFont="1" applyFill="1" applyBorder="1" applyAlignment="1"/>
    <xf numFmtId="0" fontId="9" fillId="3" borderId="6" xfId="0" applyFont="1" applyFill="1" applyBorder="1" applyAlignment="1"/>
    <xf numFmtId="0" fontId="10" fillId="0" borderId="0" xfId="0" applyFont="1" applyFill="1" applyAlignment="1">
      <alignment horizontal="left"/>
    </xf>
    <xf numFmtId="0" fontId="5" fillId="0" borderId="6" xfId="0" applyFont="1" applyFill="1" applyBorder="1" applyAlignment="1">
      <alignment wrapText="1"/>
    </xf>
    <xf numFmtId="0" fontId="8" fillId="0" borderId="6" xfId="0" applyFont="1" applyFill="1" applyBorder="1" applyAlignment="1">
      <alignment vertical="center"/>
    </xf>
    <xf numFmtId="0" fontId="8" fillId="0" borderId="6" xfId="0" applyFont="1" applyFill="1" applyBorder="1" applyAlignment="1"/>
    <xf numFmtId="0" fontId="5" fillId="0" borderId="0" xfId="0" applyFont="1" applyFill="1" applyAlignment="1">
      <alignment horizontal="left" vertical="center"/>
    </xf>
    <xf numFmtId="177" fontId="8" fillId="0" borderId="6" xfId="0" applyNumberFormat="1" applyFont="1" applyFill="1" applyBorder="1" applyAlignment="1">
      <alignment horizontal="center"/>
    </xf>
    <xf numFmtId="0" fontId="11" fillId="0" borderId="0" xfId="0" applyFont="1" applyFill="1" applyAlignment="1">
      <alignment horizontal="left"/>
    </xf>
    <xf numFmtId="178" fontId="12" fillId="0" borderId="0" xfId="0" applyNumberFormat="1" applyFont="1" applyFill="1" applyAlignment="1">
      <alignment horizontal="left"/>
    </xf>
    <xf numFmtId="0" fontId="5" fillId="0" borderId="4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M15" sqref="M15"/>
    </sheetView>
  </sheetViews>
  <sheetFormatPr defaultColWidth="9.23076923076923" defaultRowHeight="16.8" outlineLevelCol="6"/>
  <cols>
    <col min="1" max="1" width="24.8365384615385" customWidth="1"/>
    <col min="2" max="2" width="24.3557692307692" customWidth="1"/>
    <col min="3" max="3" width="19.8653846153846" customWidth="1"/>
    <col min="4" max="4" width="18.4230769230769" customWidth="1"/>
    <col min="5" max="6" width="21" customWidth="1"/>
    <col min="7" max="7" width="12.3365384615385" customWidth="1"/>
  </cols>
  <sheetData>
    <row r="1" ht="28.8" spans="1:7">
      <c r="A1" s="1"/>
      <c r="B1" s="2"/>
      <c r="C1" s="3"/>
      <c r="D1" s="3"/>
      <c r="E1" s="2"/>
      <c r="F1" s="4"/>
      <c r="G1" s="5"/>
    </row>
    <row r="2" ht="17" spans="1:7">
      <c r="A2" s="6" t="s">
        <v>0</v>
      </c>
      <c r="B2" s="7" t="s">
        <v>0</v>
      </c>
      <c r="C2" s="7" t="s">
        <v>1</v>
      </c>
      <c r="D2" s="7" t="s">
        <v>2</v>
      </c>
      <c r="E2" s="7" t="s">
        <v>3</v>
      </c>
      <c r="F2" s="8" t="s">
        <v>4</v>
      </c>
      <c r="G2" s="9" t="s">
        <v>5</v>
      </c>
    </row>
    <row r="3" spans="1:7">
      <c r="A3" s="10">
        <v>37</v>
      </c>
      <c r="B3" s="11">
        <v>40</v>
      </c>
      <c r="C3" s="12">
        <v>0.02</v>
      </c>
      <c r="D3" s="7">
        <v>0.19</v>
      </c>
      <c r="E3" s="13">
        <f>A3*B3*C3*D3/1000*0.95</f>
        <v>0.0053428</v>
      </c>
      <c r="F3" s="14">
        <v>1500000</v>
      </c>
      <c r="G3" s="15">
        <f>F3*E4</f>
        <v>8014.2</v>
      </c>
    </row>
    <row r="4" spans="1:7">
      <c r="A4" s="6">
        <v>5</v>
      </c>
      <c r="B4" s="7">
        <v>13</v>
      </c>
      <c r="C4" s="7"/>
      <c r="D4" s="7"/>
      <c r="E4" s="7">
        <f>SUM(E3:E3)</f>
        <v>0.0053428</v>
      </c>
      <c r="F4" s="14"/>
      <c r="G4" s="16"/>
    </row>
    <row r="5" spans="1:7">
      <c r="A5" s="17"/>
      <c r="B5" s="18"/>
      <c r="C5" s="19" t="s">
        <v>6</v>
      </c>
      <c r="D5" s="20" t="s">
        <v>7</v>
      </c>
      <c r="E5" s="21">
        <v>2500</v>
      </c>
      <c r="F5" s="21">
        <f>F3/E5</f>
        <v>600</v>
      </c>
      <c r="G5" s="21"/>
    </row>
    <row r="6" spans="1:7">
      <c r="A6" s="22"/>
      <c r="B6" s="18"/>
      <c r="C6" s="19" t="s">
        <v>6</v>
      </c>
      <c r="D6" s="20" t="s">
        <v>8</v>
      </c>
      <c r="E6" s="21">
        <f>E4*E5</f>
        <v>13.357</v>
      </c>
      <c r="F6" s="21">
        <f>E6+1</f>
        <v>14.357</v>
      </c>
      <c r="G6" s="21">
        <f>F5*13.3+34</f>
        <v>8014</v>
      </c>
    </row>
    <row r="7" spans="1:7">
      <c r="A7" s="23" t="s">
        <v>9</v>
      </c>
      <c r="B7" s="24">
        <v>8200</v>
      </c>
      <c r="C7" s="25" t="s">
        <v>6</v>
      </c>
      <c r="D7" s="20" t="s">
        <v>10</v>
      </c>
      <c r="E7" s="21"/>
      <c r="F7" s="21"/>
      <c r="G7" s="21"/>
    </row>
    <row r="8" spans="1:7">
      <c r="A8" s="23" t="s">
        <v>11</v>
      </c>
      <c r="B8" s="26">
        <v>2500</v>
      </c>
      <c r="C8" s="19">
        <f>40000*E4</f>
        <v>213.712</v>
      </c>
      <c r="D8" s="27"/>
      <c r="E8" s="28"/>
      <c r="F8" s="28"/>
      <c r="G8" s="29"/>
    </row>
    <row r="9" spans="1:7">
      <c r="A9" s="23" t="s">
        <v>12</v>
      </c>
      <c r="B9" s="26">
        <v>852</v>
      </c>
      <c r="C9" s="25"/>
      <c r="D9" s="27"/>
      <c r="E9" s="28"/>
      <c r="F9" s="30"/>
      <c r="G9" s="31"/>
    </row>
    <row r="10" spans="1:7">
      <c r="A10" s="23" t="s">
        <v>13</v>
      </c>
      <c r="B10" s="26">
        <v>0</v>
      </c>
      <c r="C10" s="19"/>
      <c r="D10" s="27"/>
      <c r="E10" s="28"/>
      <c r="F10" s="30"/>
      <c r="G10" s="31"/>
    </row>
    <row r="11" spans="1:7">
      <c r="A11" s="23" t="s">
        <v>14</v>
      </c>
      <c r="B11" s="24">
        <v>1.06</v>
      </c>
      <c r="C11" s="19">
        <f>50/G3</f>
        <v>0.00623892590651593</v>
      </c>
      <c r="D11" s="27"/>
      <c r="E11" s="28"/>
      <c r="F11" s="30"/>
      <c r="G11" s="31"/>
    </row>
    <row r="12" ht="17" spans="1:7">
      <c r="A12" s="23" t="s">
        <v>15</v>
      </c>
      <c r="B12" s="26">
        <f>E4</f>
        <v>0.0053428</v>
      </c>
      <c r="C12" s="19"/>
      <c r="D12" s="27"/>
      <c r="E12" s="28"/>
      <c r="F12" s="30"/>
      <c r="G12" s="31"/>
    </row>
    <row r="13" spans="1:7">
      <c r="A13" s="23" t="s">
        <v>16</v>
      </c>
      <c r="B13" s="32">
        <f>(B7+B8+B9+B10)/1000*B11*B12</f>
        <v>0.065423227136</v>
      </c>
      <c r="C13" s="19"/>
      <c r="D13" s="27">
        <f>A3*B3*0.18</f>
        <v>266.4</v>
      </c>
      <c r="E13" s="28"/>
      <c r="F13" s="30"/>
      <c r="G13" s="31"/>
    </row>
    <row r="14" ht="17" spans="1:7">
      <c r="A14" s="23" t="s">
        <v>17</v>
      </c>
      <c r="B14" s="33">
        <v>0.016</v>
      </c>
      <c r="C14" s="34" t="s">
        <v>18</v>
      </c>
      <c r="D14" s="27">
        <v>400</v>
      </c>
      <c r="E14" s="14"/>
      <c r="F14" s="30"/>
      <c r="G14" s="31"/>
    </row>
    <row r="15" spans="1:7">
      <c r="A15" s="23" t="s">
        <v>19</v>
      </c>
      <c r="B15" s="32">
        <f>5/E5</f>
        <v>0.002</v>
      </c>
      <c r="C15" s="25"/>
      <c r="D15" s="27"/>
      <c r="E15" s="14"/>
      <c r="F15" s="30"/>
      <c r="G15" s="31"/>
    </row>
    <row r="16" spans="1:7">
      <c r="A16" s="23" t="s">
        <v>20</v>
      </c>
      <c r="B16" s="32"/>
      <c r="C16" s="19"/>
      <c r="D16" s="27"/>
      <c r="E16" s="14"/>
      <c r="F16" s="30"/>
      <c r="G16" s="31"/>
    </row>
    <row r="17" ht="17" spans="1:7">
      <c r="A17" s="35" t="s">
        <v>21</v>
      </c>
      <c r="B17" s="36">
        <f>SUM(B13:B16)</f>
        <v>0.083423227136</v>
      </c>
      <c r="C17" s="19"/>
      <c r="D17" s="27"/>
      <c r="E17" s="14"/>
      <c r="F17" s="30"/>
      <c r="G17" s="31"/>
    </row>
    <row r="18" spans="1:7">
      <c r="A18" s="23" t="s">
        <v>22</v>
      </c>
      <c r="B18" s="37">
        <v>1.12</v>
      </c>
      <c r="C18" s="19"/>
      <c r="D18" s="38"/>
      <c r="E18" s="14"/>
      <c r="F18" s="30"/>
      <c r="G18" s="31"/>
    </row>
    <row r="19" spans="1:7">
      <c r="A19" s="23" t="s">
        <v>23</v>
      </c>
      <c r="B19" s="39">
        <f>B17*B18</f>
        <v>0.09343401439232</v>
      </c>
      <c r="C19" s="40">
        <f>B19/6.7</f>
        <v>0.0139453752824358</v>
      </c>
      <c r="D19" s="27"/>
      <c r="E19" s="14"/>
      <c r="F19" s="30"/>
      <c r="G19" s="31"/>
    </row>
    <row r="20" spans="1:7">
      <c r="A20" s="23" t="s">
        <v>24</v>
      </c>
      <c r="B20" s="32">
        <f>B19*1.1</f>
        <v>0.102777415831552</v>
      </c>
      <c r="C20" s="41"/>
      <c r="D20" s="27"/>
      <c r="E20" s="14"/>
      <c r="F20" s="30"/>
      <c r="G20" s="31"/>
    </row>
    <row r="21" spans="1:7">
      <c r="A21" s="42" t="s">
        <v>25</v>
      </c>
      <c r="B21" s="43">
        <f>D13</f>
        <v>266.4</v>
      </c>
      <c r="C21" s="19"/>
      <c r="D21" s="44"/>
      <c r="E21" s="14"/>
      <c r="F21" s="30"/>
      <c r="G21" s="31"/>
    </row>
    <row r="22" spans="1:7">
      <c r="A22" s="45"/>
      <c r="G22" s="46"/>
    </row>
    <row r="23" spans="1:7">
      <c r="A23" s="47"/>
      <c r="B23" s="48"/>
      <c r="C23" s="48"/>
      <c r="D23" s="48"/>
      <c r="E23" s="48"/>
      <c r="F23" s="48"/>
      <c r="G23" s="49"/>
    </row>
  </sheetData>
  <mergeCells count="1">
    <mergeCell ref="A1:E1"/>
  </mergeCells>
  <dataValidations count="1">
    <dataValidation allowBlank="1" showInputMessage="1" showErrorMessage="1" sqref="D3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hengshengurban</dc:creator>
  <cp:lastModifiedBy>蚝</cp:lastModifiedBy>
  <dcterms:created xsi:type="dcterms:W3CDTF">2026-09-03T17:32:00Z</dcterms:created>
  <dcterms:modified xsi:type="dcterms:W3CDTF">2026-09-04T01:36:12Z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84E5B2FB00B8E51008829A6A8383CFBB_41</vt:lpwstr>
  </property>
  <property fmtid="{D5CDD505-2E9C-101B-9397-08002B2CF9AE}" pid="3" name="KSOProductBuildVer">
    <vt:lpwstr>2052-12.1.26053.26053</vt:lpwstr>
  </property>
  <property fmtid="{D5CDD505-2E9C-101B-9397-08002B2CF9AE}" pid="4" name="CalculationRule">
    <vt:i4>1</vt:i4>
  </property>
</Properties>
</file>